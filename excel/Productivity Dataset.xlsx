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shub\Downloads\"/>
    </mc:Choice>
  </mc:AlternateContent>
  <xr:revisionPtr revIDLastSave="0" documentId="13_ncr:1_{7159B025-A88D-4523-80E7-6D6A5040D99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taset" sheetId="1" r:id="rId1"/>
    <sheet name="Underultilized Perfomers" sheetId="5" r:id="rId2"/>
    <sheet name="PEI" sheetId="4" r:id="rId3"/>
    <sheet name="Top 5 employees" sheetId="2" r:id="rId4"/>
  </sheets>
  <definedNames>
    <definedName name="_xlnm._FilterDatabase" localSheetId="0" hidden="1">Dataset!$A$1:$G$26</definedName>
    <definedName name="_xlnm._FilterDatabase" localSheetId="2" hidden="1">PEI!$A$1:$I$26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 a="1"/>
  <c r="B55" i="1" s="1"/>
  <c r="B54" i="1" a="1"/>
  <c r="B54" i="1" s="1"/>
  <c r="B52" i="1" a="1"/>
  <c r="B52" i="1" s="1"/>
  <c r="B53" i="1" s="1" a="1"/>
  <c r="B53" i="1" s="1"/>
  <c r="B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D27" i="1"/>
  <c r="B3" i="5" a="1"/>
  <c r="B3" i="5" s="1"/>
  <c r="I42" i="1"/>
  <c r="I43" i="1"/>
  <c r="H19" i="4"/>
  <c r="H7" i="4"/>
  <c r="H23" i="4"/>
  <c r="H8" i="4"/>
  <c r="H21" i="4"/>
  <c r="H26" i="4"/>
  <c r="H16" i="4"/>
  <c r="H14" i="4"/>
  <c r="H4" i="4"/>
  <c r="H25" i="4"/>
  <c r="H9" i="4"/>
  <c r="H15" i="4"/>
  <c r="H22" i="4"/>
  <c r="H5" i="4"/>
  <c r="H17" i="4"/>
  <c r="H12" i="4"/>
  <c r="H3" i="4"/>
  <c r="H20" i="4"/>
  <c r="H10" i="4"/>
  <c r="H13" i="4"/>
  <c r="H24" i="4"/>
  <c r="H6" i="4"/>
  <c r="H18" i="4"/>
  <c r="H2" i="4"/>
  <c r="H11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I22" i="4" l="1"/>
  <c r="I15" i="4"/>
  <c r="I9" i="4"/>
  <c r="I25" i="4"/>
  <c r="I20" i="4"/>
  <c r="I11" i="4"/>
  <c r="I21" i="4"/>
  <c r="I2" i="4"/>
  <c r="I8" i="4"/>
  <c r="I18" i="4"/>
  <c r="I23" i="4"/>
  <c r="I6" i="4"/>
  <c r="I7" i="4"/>
  <c r="I24" i="4"/>
  <c r="I4" i="4"/>
  <c r="I13" i="4"/>
  <c r="I10" i="4"/>
  <c r="I12" i="4"/>
  <c r="I26" i="4"/>
  <c r="I5" i="4"/>
  <c r="I17" i="4"/>
  <c r="I3" i="4"/>
  <c r="I16" i="4"/>
  <c r="I14" i="4"/>
  <c r="I1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<sst xmlns="http://schemas.openxmlformats.org/spreadsheetml/2006/main" count="182" uniqueCount="71">
  <si>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</si>
  <si>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</si>
  <si>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</si>
  <si>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</si>
  <si>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</si>
  <si>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</si>
  <si>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</si>
  <si>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</si>
  <si>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</si>
  <si>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</si>
  <si>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</si>
  <si>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</si>
  <si>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</si>
  <si>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</si>
  <si>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</si>
  <si>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</si>
  <si>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</si>
  <si>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</si>
  <si>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</si>
  <si>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</si>
  <si>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</si>
  <si>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</si>
  <si>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</si>
  <si>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</si>
  <si>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</si>
  <si>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</si>
  <si>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</si>
  <si>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</si>
  <si>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</si>
  <si>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</si>
  <si>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</si>
  <si>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</si>
  <si>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</si>
  <si>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</si>
  <si>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</si>
  <si>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</si>
  <si>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</si>
  <si>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a. Used sort and filter function and then pasted the output here to display it</t>
  </si>
  <si>
    <t>b. Created bar chart on this data to visualise the top 5 productive employees</t>
  </si>
  <si>
    <t>Grand Total</t>
  </si>
  <si>
    <t>Standard Deviation (Consistency)</t>
  </si>
  <si>
    <t>2. Department-Wise Productive Consistency</t>
  </si>
  <si>
    <t>3. Producitvity Efficiency Index</t>
  </si>
  <si>
    <t>PEI</t>
  </si>
  <si>
    <t>Rank</t>
  </si>
  <si>
    <t>&gt; Top 3 employees by PEI are Meera, Kunal, Arjun</t>
  </si>
  <si>
    <t>&gt; Rank function and then  sort and filter is used to find top 3 performers</t>
  </si>
  <si>
    <t>&gt; Rahul, Tanya, Rakesh, Neeraj, Riya are the top 5 productive employees.</t>
  </si>
  <si>
    <t>&gt; Finance has the least variation among all other departments, hence most consistent</t>
  </si>
  <si>
    <t>&gt; Solution present in PEI sheet</t>
  </si>
  <si>
    <t>Correlation Analysis</t>
  </si>
  <si>
    <t>Perfomance Rating vs Hours Worked</t>
  </si>
  <si>
    <t>Perfomance Rating vs Task Completed</t>
  </si>
  <si>
    <t>Correlation Coeff</t>
  </si>
  <si>
    <t>4. Correlation Analysis</t>
  </si>
  <si>
    <t>&gt; Top 5 productive employees are present in "Top 5 employees sheet"</t>
  </si>
  <si>
    <t>1.Top 5 productive Employees</t>
  </si>
  <si>
    <t>&gt; Q.1 As per our analysis, Task_completed is strongly related to performance rating compared to hours_worked</t>
  </si>
  <si>
    <t xml:space="preserve">Department Wise Producitivity Consistency </t>
  </si>
  <si>
    <t>&gt;Q.2 There is positive correlation between task_completed and peroducitvity score</t>
  </si>
  <si>
    <t>5. Underutilized High Performers</t>
  </si>
  <si>
    <t>Average_Hours</t>
  </si>
  <si>
    <t>&gt; Used filter and conditional operators to find out under ultilized employees</t>
  </si>
  <si>
    <t>&gt; Underutilized Performers are filtered in 'underultized perfomers' sheet</t>
  </si>
  <si>
    <t>&gt; Akash, Sneha and Suman are underutlized but high performer employees</t>
  </si>
  <si>
    <t>6. Task per hour efficiency</t>
  </si>
  <si>
    <t>Task_per_hour</t>
  </si>
  <si>
    <t>Max_Score</t>
  </si>
  <si>
    <t>&gt; Most efficient employee on this metric is Arjun from Marketing department</t>
  </si>
  <si>
    <t>Producitvity Score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</si>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</sst>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5" fillId="0" borderId="0" xfId="0" applyFont="1"/>
    <xf numFmtId="0" fontId="3" fillId="0" borderId="3" xfId="0" applyFont="1" applyBorder="1"/>
    <xf numFmtId="0" fontId="0" fillId="0" borderId="3" xfId="0" applyBorder="1"/>
    <xf numFmtId="0" fontId="5" fillId="4" borderId="3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0" fillId="4" borderId="7" xfId="0" applyFill="1" applyBorder="1"/>
    <xf numFmtId="0" fontId="5" fillId="0" borderId="8" xfId="0" applyFont="1" applyFill="1" applyBorder="1" applyAlignment="1">
      <alignment horizontal="center"/>
    </xf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Dataset!$F$1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Dataset!$D$2:$D$26</c:f>
              <c:numCache>
                <c:formatCode>General</c:formatCode>
                <c:ptCount val="25"/>
                <c:pt idx="0">
                  <c:v>35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25</c:v>
                </c:pt>
                <c:pt idx="5">
                  <c:v>38</c:v>
                </c:pt>
                <c:pt idx="6">
                  <c:v>50</c:v>
                </c:pt>
                <c:pt idx="7">
                  <c:v>28</c:v>
                </c:pt>
                <c:pt idx="8">
                  <c:v>42</c:v>
                </c:pt>
                <c:pt idx="9">
                  <c:v>37</c:v>
                </c:pt>
                <c:pt idx="10">
                  <c:v>29</c:v>
                </c:pt>
                <c:pt idx="11">
                  <c:v>44</c:v>
                </c:pt>
                <c:pt idx="12">
                  <c:v>33</c:v>
                </c:pt>
                <c:pt idx="13">
                  <c:v>41</c:v>
                </c:pt>
                <c:pt idx="14">
                  <c:v>48</c:v>
                </c:pt>
                <c:pt idx="15">
                  <c:v>26</c:v>
                </c:pt>
                <c:pt idx="16">
                  <c:v>31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  <c:pt idx="20">
                  <c:v>27</c:v>
                </c:pt>
                <c:pt idx="21">
                  <c:v>32</c:v>
                </c:pt>
                <c:pt idx="22">
                  <c:v>46</c:v>
                </c:pt>
                <c:pt idx="23">
                  <c:v>34</c:v>
                </c:pt>
                <c:pt idx="24">
                  <c:v>47</c:v>
                </c:pt>
              </c:numCache>
            </c:numRef>
          </c:xVal>
          <c:yVal>
            <c:numRef>
              <c:f>Dataset!$F$2:$F$26</c:f>
              <c:numCache>
                <c:formatCode>General</c:formatCode>
                <c:ptCount val="25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  <c:pt idx="4">
                  <c:v>60</c:v>
                </c:pt>
                <c:pt idx="5">
                  <c:v>85</c:v>
                </c:pt>
                <c:pt idx="6">
                  <c:v>100</c:v>
                </c:pt>
                <c:pt idx="7">
                  <c:v>65</c:v>
                </c:pt>
                <c:pt idx="8">
                  <c:v>92</c:v>
                </c:pt>
                <c:pt idx="9">
                  <c:v>83</c:v>
                </c:pt>
                <c:pt idx="10">
                  <c:v>68</c:v>
                </c:pt>
                <c:pt idx="11">
                  <c:v>94</c:v>
                </c:pt>
                <c:pt idx="12">
                  <c:v>75</c:v>
                </c:pt>
                <c:pt idx="13">
                  <c:v>89</c:v>
                </c:pt>
                <c:pt idx="14">
                  <c:v>98</c:v>
                </c:pt>
                <c:pt idx="15">
                  <c:v>62</c:v>
                </c:pt>
                <c:pt idx="16">
                  <c:v>72</c:v>
                </c:pt>
                <c:pt idx="17">
                  <c:v>93</c:v>
                </c:pt>
                <c:pt idx="18">
                  <c:v>87</c:v>
                </c:pt>
                <c:pt idx="19">
                  <c:v>78</c:v>
                </c:pt>
                <c:pt idx="20">
                  <c:v>64</c:v>
                </c:pt>
                <c:pt idx="21">
                  <c:v>74</c:v>
                </c:pt>
                <c:pt idx="22">
                  <c:v>96</c:v>
                </c:pt>
                <c:pt idx="23">
                  <c:v>76</c:v>
                </c:pt>
                <c:pt idx="24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F1-4B51-8A12-DB983C17B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24575"/>
        <c:axId val="677123615"/>
      </c:scatterChart>
      <c:valAx>
        <c:axId val="677124575"/>
        <c:scaling>
          <c:orientation val="minMax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  <a:r>
                  <a:rPr lang="en-IN" baseline="0"/>
                  <a:t> Worked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23615"/>
        <c:crosses val="autoZero"/>
        <c:crossBetween val="midCat"/>
      </c:valAx>
      <c:valAx>
        <c:axId val="67712361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Producitvity</a:t>
                </a:r>
                <a:r>
                  <a:rPr lang="en-IN" baseline="0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2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employees'!$F$1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employees'!$B$2:$B$6</c:f>
              <c:strCache>
                <c:ptCount val="5"/>
                <c:pt idx="0">
                  <c:v>Rahul</c:v>
                </c:pt>
                <c:pt idx="1">
                  <c:v>Tanya</c:v>
                </c:pt>
                <c:pt idx="2">
                  <c:v>Rakesh</c:v>
                </c:pt>
                <c:pt idx="3">
                  <c:v>Neeraj</c:v>
                </c:pt>
                <c:pt idx="4">
                  <c:v>Riya</c:v>
                </c:pt>
              </c:strCache>
            </c:strRef>
          </c:cat>
          <c:val>
            <c:numRef>
              <c:f>'Top 5 employees'!$F$2:$F$6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E-498E-B7C9-E3F5273F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677258095"/>
        <c:axId val="677263855"/>
      </c:barChart>
      <c:catAx>
        <c:axId val="67725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63855"/>
        <c:crosses val="autoZero"/>
        <c:auto val="1"/>
        <c:lblAlgn val="ctr"/>
        <c:lblOffset val="100"/>
        <c:noMultiLvlLbl val="0"/>
      </c:catAx>
      <c:valAx>
        <c:axId val="677263855"/>
        <c:scaling>
          <c:orientation val="minMax"/>
          <c:max val="102"/>
          <c:min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Productivity</a:t>
                </a:r>
                <a:r>
                  <a:rPr lang="en-IN" baseline="0"/>
                  <a:t> Scores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5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1509713</xdr:colOff>
      <xdr:row>44</xdr:row>
      <xdr:rowOff>14287</xdr:rowOff>
    </xdr:from>
    <xdr:to>
      <xdr:col>10</xdr:col>
      <xdr:colOff>1840707</xdr:colOff>
      <xdr:row>59</xdr:row>
      <xdr:rowOff>130970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E06FC2-8EC9-49D7-BACD-06A674A0A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242888</xdr:colOff>
      <xdr:row>7</xdr:row>
      <xdr:rowOff>100013</xdr:rowOff>
    </xdr:from>
    <xdr:to>
      <xdr:col>6</xdr:col>
      <xdr:colOff>330995</xdr:colOff>
      <xdr:row>30</xdr:row>
      <xdr:rowOff>16671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E05D0-6A33-4EBB-B4D7-E13F2A9A4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Mehta" refreshedDate="45914.637574421293" createdVersion="8" refreshedVersion="8" minRefreshableVersion="3" recordCount="25" xr:uid="{4F8C00C7-ABFA-4535-8203-38D10872D875}">
  <cacheSource type="worksheet">
    <worksheetSource ref="A1:G26" sheet="Dataset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Sales"/>
        <s v="Marketing"/>
        <s v="HR"/>
        <s v="IT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1"/>
    <s v="Aakash"/>
    <x v="0"/>
    <n v="35"/>
    <n v="50"/>
    <n v="80"/>
    <n v="4"/>
  </r>
  <r>
    <n v="102"/>
    <s v="Meera"/>
    <x v="1"/>
    <n v="40"/>
    <n v="65"/>
    <n v="90"/>
    <n v="5"/>
  </r>
  <r>
    <n v="103"/>
    <s v="Suresh"/>
    <x v="2"/>
    <n v="30"/>
    <n v="40"/>
    <n v="70"/>
    <n v="3"/>
  </r>
  <r>
    <n v="104"/>
    <s v="Riya"/>
    <x v="3"/>
    <n v="45"/>
    <n v="75"/>
    <n v="95"/>
    <n v="5"/>
  </r>
  <r>
    <n v="105"/>
    <s v="Prakash"/>
    <x v="4"/>
    <n v="25"/>
    <n v="30"/>
    <n v="60"/>
    <n v="2"/>
  </r>
  <r>
    <n v="106"/>
    <s v="Neha"/>
    <x v="0"/>
    <n v="38"/>
    <n v="58"/>
    <n v="85"/>
    <n v="4"/>
  </r>
  <r>
    <n v="107"/>
    <s v="Rahul"/>
    <x v="3"/>
    <n v="50"/>
    <n v="80"/>
    <n v="100"/>
    <n v="5"/>
  </r>
  <r>
    <n v="108"/>
    <s v="Priya"/>
    <x v="2"/>
    <n v="28"/>
    <n v="35"/>
    <n v="65"/>
    <n v="3"/>
  </r>
  <r>
    <n v="109"/>
    <s v="Kunal"/>
    <x v="1"/>
    <n v="42"/>
    <n v="70"/>
    <n v="92"/>
    <n v="5"/>
  </r>
  <r>
    <n v="110"/>
    <s v="Sneha"/>
    <x v="0"/>
    <n v="37"/>
    <n v="55"/>
    <n v="83"/>
    <n v="4"/>
  </r>
  <r>
    <n v="111"/>
    <s v="Amit"/>
    <x v="4"/>
    <n v="29"/>
    <n v="38"/>
    <n v="68"/>
    <n v="3"/>
  </r>
  <r>
    <n v="112"/>
    <s v="Pooja"/>
    <x v="1"/>
    <n v="44"/>
    <n v="73"/>
    <n v="94"/>
    <n v="5"/>
  </r>
  <r>
    <n v="113"/>
    <s v="Varun"/>
    <x v="2"/>
    <n v="33"/>
    <n v="45"/>
    <n v="75"/>
    <n v="3"/>
  </r>
  <r>
    <n v="114"/>
    <s v="Deepak"/>
    <x v="0"/>
    <n v="41"/>
    <n v="66"/>
    <n v="89"/>
    <n v="4"/>
  </r>
  <r>
    <n v="115"/>
    <s v="Rakesh"/>
    <x v="3"/>
    <n v="48"/>
    <n v="78"/>
    <n v="98"/>
    <n v="5"/>
  </r>
  <r>
    <n v="116"/>
    <s v="Kavita"/>
    <x v="4"/>
    <n v="26"/>
    <n v="32"/>
    <n v="62"/>
    <n v="2"/>
  </r>
  <r>
    <n v="117"/>
    <s v="Sanjay"/>
    <x v="2"/>
    <n v="31"/>
    <n v="42"/>
    <n v="72"/>
    <n v="3"/>
  </r>
  <r>
    <n v="118"/>
    <s v="Arjun"/>
    <x v="1"/>
    <n v="43"/>
    <n v="75"/>
    <n v="93"/>
    <n v="5"/>
  </r>
  <r>
    <n v="119"/>
    <s v="Anjali"/>
    <x v="3"/>
    <n v="39"/>
    <n v="60"/>
    <n v="87"/>
    <n v="4"/>
  </r>
  <r>
    <n v="120"/>
    <s v="Suman"/>
    <x v="0"/>
    <n v="36"/>
    <n v="52"/>
    <n v="78"/>
    <n v="4"/>
  </r>
  <r>
    <n v="121"/>
    <s v="Mohan"/>
    <x v="4"/>
    <n v="27"/>
    <n v="34"/>
    <n v="64"/>
    <n v="2"/>
  </r>
  <r>
    <n v="122"/>
    <s v="Jyoti"/>
    <x v="2"/>
    <n v="32"/>
    <n v="44"/>
    <n v="74"/>
    <n v="3"/>
  </r>
  <r>
    <n v="123"/>
    <s v="Neeraj"/>
    <x v="1"/>
    <n v="46"/>
    <n v="77"/>
    <n v="96"/>
    <n v="5"/>
  </r>
  <r>
    <n v="124"/>
    <s v="Akash"/>
    <x v="0"/>
    <n v="34"/>
    <n v="48"/>
    <n v="76"/>
    <n v="3"/>
  </r>
  <r>
    <n v="125"/>
    <s v="Tanya"/>
    <x v="3"/>
    <n v="47"/>
    <n v="79"/>
    <n v="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5A67D-E126-4150-A6E9-5450976B9864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G33:H39" firstHeaderRow="1" firstDataRow="1" firstDataCol="1"/>
  <pivotFields count="7">
    <pivotField showAll="0"/>
    <pivotField showAll="0"/>
    <pivotField axis="axisRow" showAll="0" sortType="descending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andard Deviation (Consistency)" fld="5" subtotal="stdDevp" baseField="2" baseItem="0" numFmtId="2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5"/>
  <sheetViews>
    <sheetView tabSelected="1" workbookViewId="0">
      <selection activeCell="C53" sqref="C53"/>
    </sheetView>
  </sheetViews>
  <sheetFormatPr defaultColWidth="12.59765625" defaultRowHeight="15.75" customHeight="1" x14ac:dyDescent="0.35"/>
  <cols>
    <col min="1" max="1" width="18.9296875" customWidth="1"/>
    <col min="7" max="7" width="21.73046875" bestFit="1" customWidth="1"/>
    <col min="8" max="8" width="30.3984375" bestFit="1" customWidth="1"/>
    <col min="9" max="9" width="30.3984375" customWidth="1"/>
    <col min="11" max="11" width="32.53125" bestFit="1" customWidth="1"/>
    <col min="12" max="12" width="15.86328125" bestFit="1" customWidth="1"/>
  </cols>
  <sheetData>
    <row r="1" spans="1:9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43</v>
      </c>
      <c r="I1" s="19" t="s">
        <v>66</v>
      </c>
    </row>
    <row r="2" spans="1:9" ht="15.75" customHeight="1" x14ac:dyDescent="0.45">
      <c r="A2" s="2">
        <v>101</v>
      </c>
      <c r="B2" s="2" t="s">
        <v>7</v>
      </c>
      <c r="C2" s="2" t="s">
        <v>8</v>
      </c>
      <c r="D2" s="2">
        <v>35</v>
      </c>
      <c r="E2" s="2">
        <v>50</v>
      </c>
      <c r="F2" s="2">
        <v>80</v>
      </c>
      <c r="G2" s="2">
        <v>4</v>
      </c>
      <c r="H2">
        <f>ROUND(F2*G2/D2,2)</f>
        <v>9.14</v>
      </c>
      <c r="I2">
        <f>ROUND(E2/D2,2)</f>
        <v>1.43</v>
      </c>
    </row>
    <row r="3" spans="1:9" ht="15.75" customHeight="1" x14ac:dyDescent="0.45">
      <c r="A3" s="3">
        <v>102</v>
      </c>
      <c r="B3" s="3" t="s">
        <v>9</v>
      </c>
      <c r="C3" s="3" t="s">
        <v>10</v>
      </c>
      <c r="D3" s="3">
        <v>40</v>
      </c>
      <c r="E3" s="3">
        <v>65</v>
      </c>
      <c r="F3" s="3">
        <v>90</v>
      </c>
      <c r="G3" s="3">
        <v>5</v>
      </c>
      <c r="H3">
        <f t="shared" ref="H3:H26" si="0">ROUND(F3*G3/D3,2)</f>
        <v>11.25</v>
      </c>
      <c r="I3">
        <f t="shared" ref="I3:I26" si="1">ROUND(E3/D3,2)</f>
        <v>1.63</v>
      </c>
    </row>
    <row r="4" spans="1:9" ht="15.75" customHeight="1" x14ac:dyDescent="0.45">
      <c r="A4" s="2">
        <v>103</v>
      </c>
      <c r="B4" s="2" t="s">
        <v>11</v>
      </c>
      <c r="C4" s="2" t="s">
        <v>12</v>
      </c>
      <c r="D4" s="2">
        <v>30</v>
      </c>
      <c r="E4" s="2">
        <v>40</v>
      </c>
      <c r="F4" s="2">
        <v>70</v>
      </c>
      <c r="G4" s="2">
        <v>3</v>
      </c>
      <c r="H4">
        <f t="shared" si="0"/>
        <v>7</v>
      </c>
      <c r="I4">
        <f t="shared" si="1"/>
        <v>1.33</v>
      </c>
    </row>
    <row r="5" spans="1:9" ht="15.75" customHeight="1" x14ac:dyDescent="0.45">
      <c r="A5" s="3">
        <v>104</v>
      </c>
      <c r="B5" s="3" t="s">
        <v>13</v>
      </c>
      <c r="C5" s="3" t="s">
        <v>14</v>
      </c>
      <c r="D5" s="3">
        <v>45</v>
      </c>
      <c r="E5" s="3">
        <v>75</v>
      </c>
      <c r="F5" s="3">
        <v>95</v>
      </c>
      <c r="G5" s="3">
        <v>5</v>
      </c>
      <c r="H5">
        <f t="shared" si="0"/>
        <v>10.56</v>
      </c>
      <c r="I5">
        <f t="shared" si="1"/>
        <v>1.67</v>
      </c>
    </row>
    <row r="6" spans="1:9" ht="15.75" customHeight="1" x14ac:dyDescent="0.45">
      <c r="A6" s="2">
        <v>105</v>
      </c>
      <c r="B6" s="2" t="s">
        <v>15</v>
      </c>
      <c r="C6" s="2" t="s">
        <v>16</v>
      </c>
      <c r="D6" s="2">
        <v>25</v>
      </c>
      <c r="E6" s="2">
        <v>30</v>
      </c>
      <c r="F6" s="2">
        <v>60</v>
      </c>
      <c r="G6" s="2">
        <v>2</v>
      </c>
      <c r="H6">
        <f t="shared" si="0"/>
        <v>4.8</v>
      </c>
      <c r="I6">
        <f t="shared" si="1"/>
        <v>1.2</v>
      </c>
    </row>
    <row r="7" spans="1:9" ht="15.75" customHeight="1" x14ac:dyDescent="0.45">
      <c r="A7" s="3">
        <v>106</v>
      </c>
      <c r="B7" s="3" t="s">
        <v>17</v>
      </c>
      <c r="C7" s="3" t="s">
        <v>8</v>
      </c>
      <c r="D7" s="3">
        <v>38</v>
      </c>
      <c r="E7" s="3">
        <v>58</v>
      </c>
      <c r="F7" s="3">
        <v>85</v>
      </c>
      <c r="G7" s="3">
        <v>4</v>
      </c>
      <c r="H7">
        <f t="shared" si="0"/>
        <v>8.9499999999999993</v>
      </c>
      <c r="I7">
        <f t="shared" si="1"/>
        <v>1.53</v>
      </c>
    </row>
    <row r="8" spans="1:9" ht="15.75" customHeight="1" x14ac:dyDescent="0.45">
      <c r="A8" s="2">
        <v>107</v>
      </c>
      <c r="B8" s="2" t="s">
        <v>18</v>
      </c>
      <c r="C8" s="2" t="s">
        <v>14</v>
      </c>
      <c r="D8" s="2">
        <v>50</v>
      </c>
      <c r="E8" s="2">
        <v>80</v>
      </c>
      <c r="F8" s="2">
        <v>100</v>
      </c>
      <c r="G8" s="2">
        <v>5</v>
      </c>
      <c r="H8">
        <f t="shared" si="0"/>
        <v>10</v>
      </c>
      <c r="I8">
        <f t="shared" si="1"/>
        <v>1.6</v>
      </c>
    </row>
    <row r="9" spans="1:9" ht="15.75" customHeight="1" x14ac:dyDescent="0.45">
      <c r="A9" s="3">
        <v>108</v>
      </c>
      <c r="B9" s="3" t="s">
        <v>19</v>
      </c>
      <c r="C9" s="3" t="s">
        <v>12</v>
      </c>
      <c r="D9" s="3">
        <v>28</v>
      </c>
      <c r="E9" s="3">
        <v>35</v>
      </c>
      <c r="F9" s="3">
        <v>65</v>
      </c>
      <c r="G9" s="3">
        <v>3</v>
      </c>
      <c r="H9">
        <f t="shared" si="0"/>
        <v>6.96</v>
      </c>
      <c r="I9">
        <f t="shared" si="1"/>
        <v>1.25</v>
      </c>
    </row>
    <row r="10" spans="1:9" ht="15.75" customHeight="1" x14ac:dyDescent="0.45">
      <c r="A10" s="2">
        <v>109</v>
      </c>
      <c r="B10" s="2" t="s">
        <v>20</v>
      </c>
      <c r="C10" s="2" t="s">
        <v>10</v>
      </c>
      <c r="D10" s="2">
        <v>42</v>
      </c>
      <c r="E10" s="2">
        <v>70</v>
      </c>
      <c r="F10" s="2">
        <v>92</v>
      </c>
      <c r="G10" s="2">
        <v>5</v>
      </c>
      <c r="H10">
        <f t="shared" si="0"/>
        <v>10.95</v>
      </c>
      <c r="I10">
        <f t="shared" si="1"/>
        <v>1.67</v>
      </c>
    </row>
    <row r="11" spans="1:9" ht="15.75" customHeight="1" x14ac:dyDescent="0.45">
      <c r="A11" s="3">
        <v>110</v>
      </c>
      <c r="B11" s="3" t="s">
        <v>21</v>
      </c>
      <c r="C11" s="3" t="s">
        <v>8</v>
      </c>
      <c r="D11" s="3">
        <v>37</v>
      </c>
      <c r="E11" s="3">
        <v>55</v>
      </c>
      <c r="F11" s="3">
        <v>83</v>
      </c>
      <c r="G11" s="3">
        <v>4</v>
      </c>
      <c r="H11">
        <f t="shared" si="0"/>
        <v>8.9700000000000006</v>
      </c>
      <c r="I11">
        <f t="shared" si="1"/>
        <v>1.49</v>
      </c>
    </row>
    <row r="12" spans="1:9" ht="15.75" customHeight="1" x14ac:dyDescent="0.45">
      <c r="A12" s="2">
        <v>111</v>
      </c>
      <c r="B12" s="2" t="s">
        <v>22</v>
      </c>
      <c r="C12" s="2" t="s">
        <v>16</v>
      </c>
      <c r="D12" s="2">
        <v>29</v>
      </c>
      <c r="E12" s="2">
        <v>38</v>
      </c>
      <c r="F12" s="2">
        <v>68</v>
      </c>
      <c r="G12" s="2">
        <v>3</v>
      </c>
      <c r="H12">
        <f t="shared" si="0"/>
        <v>7.03</v>
      </c>
      <c r="I12">
        <f t="shared" si="1"/>
        <v>1.31</v>
      </c>
    </row>
    <row r="13" spans="1:9" ht="15.75" customHeight="1" x14ac:dyDescent="0.45">
      <c r="A13" s="3">
        <v>112</v>
      </c>
      <c r="B13" s="3" t="s">
        <v>23</v>
      </c>
      <c r="C13" s="3" t="s">
        <v>10</v>
      </c>
      <c r="D13" s="3">
        <v>44</v>
      </c>
      <c r="E13" s="3">
        <v>73</v>
      </c>
      <c r="F13" s="3">
        <v>94</v>
      </c>
      <c r="G13" s="3">
        <v>5</v>
      </c>
      <c r="H13">
        <f t="shared" si="0"/>
        <v>10.68</v>
      </c>
      <c r="I13">
        <f t="shared" si="1"/>
        <v>1.66</v>
      </c>
    </row>
    <row r="14" spans="1:9" ht="15.75" customHeight="1" x14ac:dyDescent="0.45">
      <c r="A14" s="2">
        <v>113</v>
      </c>
      <c r="B14" s="2" t="s">
        <v>24</v>
      </c>
      <c r="C14" s="2" t="s">
        <v>12</v>
      </c>
      <c r="D14" s="2">
        <v>33</v>
      </c>
      <c r="E14" s="2">
        <v>45</v>
      </c>
      <c r="F14" s="2">
        <v>75</v>
      </c>
      <c r="G14" s="2">
        <v>3</v>
      </c>
      <c r="H14">
        <f t="shared" si="0"/>
        <v>6.82</v>
      </c>
      <c r="I14">
        <f t="shared" si="1"/>
        <v>1.36</v>
      </c>
    </row>
    <row r="15" spans="1:9" ht="15.75" customHeight="1" x14ac:dyDescent="0.45">
      <c r="A15" s="3">
        <v>114</v>
      </c>
      <c r="B15" s="3" t="s">
        <v>25</v>
      </c>
      <c r="C15" s="3" t="s">
        <v>8</v>
      </c>
      <c r="D15" s="3">
        <v>41</v>
      </c>
      <c r="E15" s="3">
        <v>66</v>
      </c>
      <c r="F15" s="3">
        <v>89</v>
      </c>
      <c r="G15" s="3">
        <v>4</v>
      </c>
      <c r="H15">
        <f t="shared" si="0"/>
        <v>8.68</v>
      </c>
      <c r="I15">
        <f t="shared" si="1"/>
        <v>1.61</v>
      </c>
    </row>
    <row r="16" spans="1:9" ht="15.75" customHeight="1" x14ac:dyDescent="0.45">
      <c r="A16" s="2">
        <v>115</v>
      </c>
      <c r="B16" s="2" t="s">
        <v>26</v>
      </c>
      <c r="C16" s="2" t="s">
        <v>14</v>
      </c>
      <c r="D16" s="2">
        <v>48</v>
      </c>
      <c r="E16" s="2">
        <v>78</v>
      </c>
      <c r="F16" s="2">
        <v>98</v>
      </c>
      <c r="G16" s="2">
        <v>5</v>
      </c>
      <c r="H16">
        <f t="shared" si="0"/>
        <v>10.210000000000001</v>
      </c>
      <c r="I16">
        <f t="shared" si="1"/>
        <v>1.63</v>
      </c>
    </row>
    <row r="17" spans="1:9" ht="15.75" customHeight="1" x14ac:dyDescent="0.45">
      <c r="A17" s="3">
        <v>116</v>
      </c>
      <c r="B17" s="3" t="s">
        <v>27</v>
      </c>
      <c r="C17" s="3" t="s">
        <v>16</v>
      </c>
      <c r="D17" s="3">
        <v>26</v>
      </c>
      <c r="E17" s="3">
        <v>32</v>
      </c>
      <c r="F17" s="3">
        <v>62</v>
      </c>
      <c r="G17" s="3">
        <v>2</v>
      </c>
      <c r="H17">
        <f t="shared" si="0"/>
        <v>4.7699999999999996</v>
      </c>
      <c r="I17">
        <f t="shared" si="1"/>
        <v>1.23</v>
      </c>
    </row>
    <row r="18" spans="1:9" ht="15.75" customHeight="1" x14ac:dyDescent="0.45">
      <c r="A18" s="2">
        <v>117</v>
      </c>
      <c r="B18" s="2" t="s">
        <v>28</v>
      </c>
      <c r="C18" s="2" t="s">
        <v>12</v>
      </c>
      <c r="D18" s="2">
        <v>31</v>
      </c>
      <c r="E18" s="2">
        <v>42</v>
      </c>
      <c r="F18" s="2">
        <v>72</v>
      </c>
      <c r="G18" s="2">
        <v>3</v>
      </c>
      <c r="H18">
        <f t="shared" si="0"/>
        <v>6.97</v>
      </c>
      <c r="I18">
        <f t="shared" si="1"/>
        <v>1.35</v>
      </c>
    </row>
    <row r="19" spans="1:9" ht="15.75" customHeight="1" x14ac:dyDescent="0.45">
      <c r="A19" s="3">
        <v>118</v>
      </c>
      <c r="B19" s="3" t="s">
        <v>29</v>
      </c>
      <c r="C19" s="3" t="s">
        <v>10</v>
      </c>
      <c r="D19" s="3">
        <v>43</v>
      </c>
      <c r="E19" s="3">
        <v>75</v>
      </c>
      <c r="F19" s="3">
        <v>93</v>
      </c>
      <c r="G19" s="3">
        <v>5</v>
      </c>
      <c r="H19">
        <f t="shared" si="0"/>
        <v>10.81</v>
      </c>
      <c r="I19">
        <f t="shared" si="1"/>
        <v>1.74</v>
      </c>
    </row>
    <row r="20" spans="1:9" ht="15.75" customHeight="1" x14ac:dyDescent="0.45">
      <c r="A20" s="2">
        <v>119</v>
      </c>
      <c r="B20" s="2" t="s">
        <v>30</v>
      </c>
      <c r="C20" s="2" t="s">
        <v>14</v>
      </c>
      <c r="D20" s="2">
        <v>39</v>
      </c>
      <c r="E20" s="2">
        <v>60</v>
      </c>
      <c r="F20" s="2">
        <v>87</v>
      </c>
      <c r="G20" s="2">
        <v>4</v>
      </c>
      <c r="H20">
        <f t="shared" si="0"/>
        <v>8.92</v>
      </c>
      <c r="I20">
        <f t="shared" si="1"/>
        <v>1.54</v>
      </c>
    </row>
    <row r="21" spans="1:9" ht="15.75" customHeight="1" x14ac:dyDescent="0.45">
      <c r="A21" s="3">
        <v>120</v>
      </c>
      <c r="B21" s="3" t="s">
        <v>31</v>
      </c>
      <c r="C21" s="3" t="s">
        <v>8</v>
      </c>
      <c r="D21" s="3">
        <v>36</v>
      </c>
      <c r="E21" s="3">
        <v>52</v>
      </c>
      <c r="F21" s="3">
        <v>78</v>
      </c>
      <c r="G21" s="3">
        <v>4</v>
      </c>
      <c r="H21">
        <f t="shared" si="0"/>
        <v>8.67</v>
      </c>
      <c r="I21">
        <f t="shared" si="1"/>
        <v>1.44</v>
      </c>
    </row>
    <row r="22" spans="1:9" ht="15.75" customHeight="1" x14ac:dyDescent="0.45">
      <c r="A22" s="2">
        <v>121</v>
      </c>
      <c r="B22" s="2" t="s">
        <v>32</v>
      </c>
      <c r="C22" s="2" t="s">
        <v>16</v>
      </c>
      <c r="D22" s="2">
        <v>27</v>
      </c>
      <c r="E22" s="2">
        <v>34</v>
      </c>
      <c r="F22" s="2">
        <v>64</v>
      </c>
      <c r="G22" s="2">
        <v>2</v>
      </c>
      <c r="H22">
        <f t="shared" si="0"/>
        <v>4.74</v>
      </c>
      <c r="I22">
        <f t="shared" si="1"/>
        <v>1.26</v>
      </c>
    </row>
    <row r="23" spans="1:9" ht="15.75" customHeight="1" x14ac:dyDescent="0.45">
      <c r="A23" s="3">
        <v>122</v>
      </c>
      <c r="B23" s="3" t="s">
        <v>33</v>
      </c>
      <c r="C23" s="3" t="s">
        <v>12</v>
      </c>
      <c r="D23" s="3">
        <v>32</v>
      </c>
      <c r="E23" s="3">
        <v>44</v>
      </c>
      <c r="F23" s="3">
        <v>74</v>
      </c>
      <c r="G23" s="3">
        <v>3</v>
      </c>
      <c r="H23">
        <f t="shared" si="0"/>
        <v>6.94</v>
      </c>
      <c r="I23">
        <f t="shared" si="1"/>
        <v>1.38</v>
      </c>
    </row>
    <row r="24" spans="1:9" ht="15.75" customHeight="1" x14ac:dyDescent="0.45">
      <c r="A24" s="2">
        <v>123</v>
      </c>
      <c r="B24" s="2" t="s">
        <v>34</v>
      </c>
      <c r="C24" s="2" t="s">
        <v>10</v>
      </c>
      <c r="D24" s="2">
        <v>46</v>
      </c>
      <c r="E24" s="2">
        <v>77</v>
      </c>
      <c r="F24" s="2">
        <v>96</v>
      </c>
      <c r="G24" s="2">
        <v>5</v>
      </c>
      <c r="H24">
        <f t="shared" si="0"/>
        <v>10.43</v>
      </c>
      <c r="I24">
        <f t="shared" si="1"/>
        <v>1.67</v>
      </c>
    </row>
    <row r="25" spans="1:9" ht="15.75" customHeight="1" x14ac:dyDescent="0.45">
      <c r="A25" s="3">
        <v>124</v>
      </c>
      <c r="B25" s="3" t="s">
        <v>35</v>
      </c>
      <c r="C25" s="3" t="s">
        <v>8</v>
      </c>
      <c r="D25" s="3">
        <v>34</v>
      </c>
      <c r="E25" s="3">
        <v>48</v>
      </c>
      <c r="F25" s="3">
        <v>76</v>
      </c>
      <c r="G25" s="3">
        <v>3</v>
      </c>
      <c r="H25">
        <f t="shared" si="0"/>
        <v>6.71</v>
      </c>
      <c r="I25">
        <f t="shared" si="1"/>
        <v>1.41</v>
      </c>
    </row>
    <row r="26" spans="1:9" ht="15.75" customHeight="1" x14ac:dyDescent="0.45">
      <c r="A26" s="2">
        <v>125</v>
      </c>
      <c r="B26" s="2" t="s">
        <v>36</v>
      </c>
      <c r="C26" s="2" t="s">
        <v>14</v>
      </c>
      <c r="D26" s="2">
        <v>47</v>
      </c>
      <c r="E26" s="2">
        <v>79</v>
      </c>
      <c r="F26" s="2">
        <v>99</v>
      </c>
      <c r="G26" s="2">
        <v>5</v>
      </c>
      <c r="H26">
        <f t="shared" si="0"/>
        <v>10.53</v>
      </c>
      <c r="I26">
        <f t="shared" si="1"/>
        <v>1.68</v>
      </c>
    </row>
    <row r="27" spans="1:9" ht="18.75" customHeight="1" x14ac:dyDescent="0.45">
      <c r="C27" s="17" t="s">
        <v>61</v>
      </c>
      <c r="D27">
        <f>AVERAGE(D2:D26)</f>
        <v>37.04</v>
      </c>
    </row>
    <row r="28" spans="1:9" ht="18.75" customHeight="1" x14ac:dyDescent="0.45">
      <c r="C28" s="18"/>
    </row>
    <row r="29" spans="1:9" ht="15.75" customHeight="1" x14ac:dyDescent="0.4">
      <c r="A29" s="9" t="s">
        <v>56</v>
      </c>
    </row>
    <row r="30" spans="1:9" ht="15.75" customHeight="1" x14ac:dyDescent="0.35">
      <c r="A30" s="7" t="s">
        <v>55</v>
      </c>
    </row>
    <row r="31" spans="1:9" ht="15.75" customHeight="1" x14ac:dyDescent="0.35">
      <c r="A31" s="7" t="s">
        <v>47</v>
      </c>
    </row>
    <row r="32" spans="1:9" ht="15.75" customHeight="1" x14ac:dyDescent="0.4">
      <c r="G32" s="14" t="s">
        <v>58</v>
      </c>
      <c r="H32" s="14"/>
      <c r="I32" s="13"/>
    </row>
    <row r="33" spans="1:9" ht="15.75" customHeight="1" x14ac:dyDescent="0.4">
      <c r="A33" s="9" t="s">
        <v>41</v>
      </c>
      <c r="G33" s="4" t="s">
        <v>2</v>
      </c>
      <c r="H33" t="s">
        <v>40</v>
      </c>
    </row>
    <row r="34" spans="1:9" ht="15.75" customHeight="1" x14ac:dyDescent="0.35">
      <c r="A34" s="7" t="s">
        <v>48</v>
      </c>
      <c r="G34" s="5" t="s">
        <v>8</v>
      </c>
      <c r="H34" s="6">
        <v>4.3748015828022293</v>
      </c>
      <c r="I34" s="6"/>
    </row>
    <row r="35" spans="1:9" ht="15.75" customHeight="1" x14ac:dyDescent="0.35">
      <c r="G35" s="5" t="s">
        <v>10</v>
      </c>
      <c r="H35" s="6">
        <v>2</v>
      </c>
      <c r="I35" s="6"/>
    </row>
    <row r="36" spans="1:9" ht="15.75" customHeight="1" x14ac:dyDescent="0.4">
      <c r="A36" s="9" t="s">
        <v>42</v>
      </c>
      <c r="G36" s="5" t="s">
        <v>14</v>
      </c>
      <c r="H36" s="6">
        <v>4.7074409183759283</v>
      </c>
      <c r="I36" s="6"/>
    </row>
    <row r="37" spans="1:9" ht="15.75" customHeight="1" x14ac:dyDescent="0.35">
      <c r="A37" s="7" t="s">
        <v>45</v>
      </c>
      <c r="G37" s="5" t="s">
        <v>12</v>
      </c>
      <c r="H37" s="6">
        <v>3.54400902933387</v>
      </c>
      <c r="I37" s="6"/>
    </row>
    <row r="38" spans="1:9" ht="15.75" customHeight="1" x14ac:dyDescent="0.35">
      <c r="A38" s="7" t="s">
        <v>49</v>
      </c>
      <c r="G38" s="5" t="s">
        <v>16</v>
      </c>
      <c r="H38" s="6">
        <v>2.9580398915498081</v>
      </c>
      <c r="I38" s="6"/>
    </row>
    <row r="39" spans="1:9" ht="15.75" customHeight="1" x14ac:dyDescent="0.35">
      <c r="G39" s="5" t="s">
        <v>39</v>
      </c>
      <c r="H39" s="6">
        <v>12.412896519346321</v>
      </c>
      <c r="I39" s="6"/>
    </row>
    <row r="40" spans="1:9" ht="15.75" customHeight="1" x14ac:dyDescent="0.4">
      <c r="A40" s="9" t="s">
        <v>54</v>
      </c>
    </row>
    <row r="41" spans="1:9" ht="15.75" customHeight="1" x14ac:dyDescent="0.4">
      <c r="A41" s="7" t="s">
        <v>57</v>
      </c>
      <c r="H41" s="12" t="s">
        <v>50</v>
      </c>
      <c r="I41" s="12" t="s">
        <v>53</v>
      </c>
    </row>
    <row r="42" spans="1:9" ht="15.75" customHeight="1" x14ac:dyDescent="0.35">
      <c r="A42" s="7" t="s">
        <v>59</v>
      </c>
      <c r="H42" s="10" t="s">
        <v>51</v>
      </c>
      <c r="I42" s="11">
        <f>ROUND(CORREL($G$2:$G$26,$D$2:$D$26),3)</f>
        <v>0.94599999999999995</v>
      </c>
    </row>
    <row r="43" spans="1:9" ht="15.75" customHeight="1" x14ac:dyDescent="0.35">
      <c r="H43" s="10" t="s">
        <v>52</v>
      </c>
      <c r="I43" s="11">
        <f>ROUND(CORREL($G$2:$G$26,$E$2:$E$26),3)</f>
        <v>0.95699999999999996</v>
      </c>
    </row>
    <row r="44" spans="1:9" ht="15.75" customHeight="1" x14ac:dyDescent="0.4">
      <c r="A44" s="9" t="s">
        <v>60</v>
      </c>
    </row>
    <row r="45" spans="1:9" ht="15.75" customHeight="1" x14ac:dyDescent="0.35">
      <c r="A45" s="7" t="s">
        <v>63</v>
      </c>
    </row>
    <row r="46" spans="1:9" ht="15.75" customHeight="1" x14ac:dyDescent="0.35">
      <c r="A46" s="7" t="s">
        <v>64</v>
      </c>
    </row>
    <row r="48" spans="1:9" ht="15.75" customHeight="1" x14ac:dyDescent="0.4">
      <c r="A48" s="9" t="s">
        <v>65</v>
      </c>
    </row>
    <row r="49" spans="1:2" ht="15.75" customHeight="1" x14ac:dyDescent="0.35">
      <c r="A49" s="7" t="s">
        <v>68</v>
      </c>
    </row>
    <row r="50" spans="1:2" ht="15.75" customHeight="1" thickBot="1" x14ac:dyDescent="0.4"/>
    <row r="51" spans="1:2" ht="15.75" customHeight="1" x14ac:dyDescent="0.4">
      <c r="A51" s="20" t="s">
        <v>67</v>
      </c>
      <c r="B51" s="21">
        <f>MAX(I2:I26)</f>
        <v>1.74</v>
      </c>
    </row>
    <row r="52" spans="1:2" ht="15.75" customHeight="1" x14ac:dyDescent="0.4">
      <c r="A52" s="22" t="s">
        <v>2</v>
      </c>
      <c r="B52" s="23" t="str" cm="1">
        <f t="array" ref="B52">INDEX($C$2:$C$26,MATCH(1,(MAX(I2:I26)=$I$2:$I$26)*1,0))</f>
        <v>Marketing</v>
      </c>
    </row>
    <row r="53" spans="1:2" ht="15.75" customHeight="1" x14ac:dyDescent="0.4">
      <c r="A53" s="24" t="s">
        <v>1</v>
      </c>
      <c r="B53" s="23" t="str" cm="1">
        <f t="array" ref="B53">_xlfn.XLOOKUP(B52&amp;B51,C2:C26&amp;I2:I26,B2:B26,,0)</f>
        <v>Arjun</v>
      </c>
    </row>
    <row r="54" spans="1:2" ht="15.75" customHeight="1" x14ac:dyDescent="0.4">
      <c r="A54" s="24" t="s">
        <v>69</v>
      </c>
      <c r="B54" s="25" cm="1">
        <f t="array" ref="B54">_xlfn.XLOOKUP(B53&amp;B52,$B$2:$B$26&amp;$C$2:$C$26,$F$2:$F$26,,0)</f>
        <v>93</v>
      </c>
    </row>
    <row r="55" spans="1:2" ht="15.75" customHeight="1" thickBot="1" x14ac:dyDescent="0.45">
      <c r="A55" s="26" t="s">
        <v>70</v>
      </c>
      <c r="B55" s="27" cm="1">
        <f t="array" ref="B55">_xlfn.XLOOKUP(B53&amp;B52,$B$2:$B$26&amp;$C$2:$C$26,$G$2:$G$26,,0)</f>
        <v>5</v>
      </c>
    </row>
  </sheetData>
  <autoFilter ref="A1:G26" xr:uid="{00000000-0001-0000-0000-000000000000}">
    <sortState xmlns:xlrd2="http://schemas.microsoft.com/office/spreadsheetml/2017/richdata2" ref="A2:G26">
      <sortCondition ref="A1:A26"/>
    </sortState>
  </autoFilter>
  <mergeCells count="1">
    <mergeCell ref="G32:H3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5AE3-0DDD-4368-80BB-3D4E52E94BAE}">
  <dimension ref="B2:H8"/>
  <sheetViews>
    <sheetView workbookViewId="0">
      <selection activeCell="B9" sqref="B9"/>
    </sheetView>
  </sheetViews>
  <sheetFormatPr defaultRowHeight="12.75" x14ac:dyDescent="0.35"/>
  <cols>
    <col min="2" max="2" width="11.46484375" bestFit="1" customWidth="1"/>
    <col min="3" max="3" width="6.796875" bestFit="1" customWidth="1"/>
    <col min="4" max="4" width="10.59765625" bestFit="1" customWidth="1"/>
    <col min="5" max="5" width="13" bestFit="1" customWidth="1"/>
    <col min="6" max="6" width="15.06640625" bestFit="1" customWidth="1"/>
    <col min="7" max="7" width="16" bestFit="1" customWidth="1"/>
    <col min="8" max="8" width="17.33203125" bestFit="1" customWidth="1"/>
  </cols>
  <sheetData>
    <row r="2" spans="2:8" ht="21.4" customHeight="1" x14ac:dyDescent="0.35"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</row>
    <row r="3" spans="2:8" ht="21.4" customHeight="1" x14ac:dyDescent="0.35">
      <c r="B3" s="16" cm="1">
        <f t="array" ref="B3:H5">_xlfn._xlws.FILTER(Dataset!A2:G26,(Dataset!G2:G26&gt;=4)*(Dataset!D2:D26&lt;AVERAGE(Dataset!D2:D26)))</f>
        <v>101</v>
      </c>
      <c r="C3" s="16" t="str">
        <v>Aakash</v>
      </c>
      <c r="D3" s="16" t="str">
        <v>Sales</v>
      </c>
      <c r="E3" s="16">
        <v>35</v>
      </c>
      <c r="F3" s="16">
        <v>50</v>
      </c>
      <c r="G3" s="16">
        <v>80</v>
      </c>
      <c r="H3" s="16">
        <v>4</v>
      </c>
    </row>
    <row r="4" spans="2:8" ht="21.4" customHeight="1" x14ac:dyDescent="0.35">
      <c r="B4" s="16">
        <v>110</v>
      </c>
      <c r="C4" s="16" t="str">
        <v>Sneha</v>
      </c>
      <c r="D4" s="16" t="str">
        <v>Sales</v>
      </c>
      <c r="E4" s="16">
        <v>37</v>
      </c>
      <c r="F4" s="16">
        <v>55</v>
      </c>
      <c r="G4" s="16">
        <v>83</v>
      </c>
      <c r="H4" s="16">
        <v>4</v>
      </c>
    </row>
    <row r="5" spans="2:8" ht="21.4" customHeight="1" x14ac:dyDescent="0.35">
      <c r="B5" s="16">
        <v>120</v>
      </c>
      <c r="C5" s="16" t="str">
        <v>Suman</v>
      </c>
      <c r="D5" s="16" t="str">
        <v>Sales</v>
      </c>
      <c r="E5" s="16">
        <v>36</v>
      </c>
      <c r="F5" s="16">
        <v>52</v>
      </c>
      <c r="G5" s="16">
        <v>78</v>
      </c>
      <c r="H5" s="16">
        <v>4</v>
      </c>
    </row>
    <row r="8" spans="2:8" x14ac:dyDescent="0.35">
      <c r="B8" s="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D854-82C8-4608-BD41-F363847B969B}">
  <sheetPr filterMode="1"/>
  <dimension ref="A1:I29"/>
  <sheetViews>
    <sheetView workbookViewId="0">
      <selection activeCell="A29" sqref="A29"/>
    </sheetView>
  </sheetViews>
  <sheetFormatPr defaultRowHeight="12.75" x14ac:dyDescent="0.35"/>
  <cols>
    <col min="1" max="1" width="11.46484375" bestFit="1" customWidth="1"/>
    <col min="2" max="2" width="6.86328125" bestFit="1" customWidth="1"/>
    <col min="3" max="3" width="10.59765625" bestFit="1" customWidth="1"/>
    <col min="4" max="4" width="13" bestFit="1" customWidth="1"/>
    <col min="5" max="5" width="15.06640625" bestFit="1" customWidth="1"/>
    <col min="6" max="6" width="16" bestFit="1" customWidth="1"/>
    <col min="7" max="7" width="17.33203125" bestFit="1" customWidth="1"/>
    <col min="8" max="9" width="11.19921875" customWidth="1"/>
  </cols>
  <sheetData>
    <row r="1" spans="1: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43</v>
      </c>
      <c r="I1" s="8" t="s">
        <v>44</v>
      </c>
    </row>
    <row r="2" spans="1:9" ht="14.25" x14ac:dyDescent="0.45">
      <c r="A2" s="3">
        <v>102</v>
      </c>
      <c r="B2" s="3" t="s">
        <v>9</v>
      </c>
      <c r="C2" s="3" t="s">
        <v>10</v>
      </c>
      <c r="D2" s="3">
        <v>40</v>
      </c>
      <c r="E2" s="3">
        <v>65</v>
      </c>
      <c r="F2" s="3">
        <v>90</v>
      </c>
      <c r="G2" s="3">
        <v>5</v>
      </c>
      <c r="H2">
        <f>ROUND(F2*G2/D2,2)</f>
        <v>11.25</v>
      </c>
      <c r="I2">
        <f>RANK(H2,$H$2:$H$26,0)</f>
        <v>1</v>
      </c>
    </row>
    <row r="3" spans="1:9" ht="14.25" x14ac:dyDescent="0.45">
      <c r="A3" s="2">
        <v>109</v>
      </c>
      <c r="B3" s="2" t="s">
        <v>20</v>
      </c>
      <c r="C3" s="2" t="s">
        <v>10</v>
      </c>
      <c r="D3" s="2">
        <v>42</v>
      </c>
      <c r="E3" s="2">
        <v>70</v>
      </c>
      <c r="F3" s="2">
        <v>92</v>
      </c>
      <c r="G3" s="2">
        <v>5</v>
      </c>
      <c r="H3">
        <f>ROUND(F3*G3/D3,2)</f>
        <v>10.95</v>
      </c>
      <c r="I3">
        <f>RANK(H3,$H$2:$H$26,0)</f>
        <v>2</v>
      </c>
    </row>
    <row r="4" spans="1:9" ht="14.25" x14ac:dyDescent="0.45">
      <c r="A4" s="3">
        <v>118</v>
      </c>
      <c r="B4" s="3" t="s">
        <v>29</v>
      </c>
      <c r="C4" s="3" t="s">
        <v>10</v>
      </c>
      <c r="D4" s="3">
        <v>43</v>
      </c>
      <c r="E4" s="3">
        <v>75</v>
      </c>
      <c r="F4" s="3">
        <v>93</v>
      </c>
      <c r="G4" s="3">
        <v>5</v>
      </c>
      <c r="H4">
        <f>ROUND(F4*G4/D4,2)</f>
        <v>10.81</v>
      </c>
      <c r="I4">
        <f>RANK(H4,$H$2:$H$26,0)</f>
        <v>3</v>
      </c>
    </row>
    <row r="5" spans="1:9" ht="14.25" hidden="1" x14ac:dyDescent="0.45">
      <c r="A5" s="3">
        <v>112</v>
      </c>
      <c r="B5" s="3" t="s">
        <v>23</v>
      </c>
      <c r="C5" s="3" t="s">
        <v>10</v>
      </c>
      <c r="D5" s="3">
        <v>44</v>
      </c>
      <c r="E5" s="3">
        <v>73</v>
      </c>
      <c r="F5" s="3">
        <v>94</v>
      </c>
      <c r="G5" s="3">
        <v>5</v>
      </c>
      <c r="H5">
        <f>ROUND(F5*G5/D5,2)</f>
        <v>10.68</v>
      </c>
      <c r="I5">
        <f>RANK(H5,$H$2:$H$26,0)</f>
        <v>4</v>
      </c>
    </row>
    <row r="6" spans="1:9" ht="14.25" hidden="1" x14ac:dyDescent="0.45">
      <c r="A6" s="3">
        <v>104</v>
      </c>
      <c r="B6" s="3" t="s">
        <v>13</v>
      </c>
      <c r="C6" s="3" t="s">
        <v>14</v>
      </c>
      <c r="D6" s="3">
        <v>45</v>
      </c>
      <c r="E6" s="3">
        <v>75</v>
      </c>
      <c r="F6" s="3">
        <v>95</v>
      </c>
      <c r="G6" s="3">
        <v>5</v>
      </c>
      <c r="H6">
        <f>ROUND(F6*G6/D6,2)</f>
        <v>10.56</v>
      </c>
      <c r="I6">
        <f>RANK(H6,$H$2:$H$26,0)</f>
        <v>5</v>
      </c>
    </row>
    <row r="7" spans="1:9" ht="14.25" hidden="1" x14ac:dyDescent="0.45">
      <c r="A7" s="2">
        <v>125</v>
      </c>
      <c r="B7" s="2" t="s">
        <v>36</v>
      </c>
      <c r="C7" s="2" t="s">
        <v>14</v>
      </c>
      <c r="D7" s="2">
        <v>47</v>
      </c>
      <c r="E7" s="2">
        <v>79</v>
      </c>
      <c r="F7" s="2">
        <v>99</v>
      </c>
      <c r="G7" s="2">
        <v>5</v>
      </c>
      <c r="H7">
        <f>ROUND(F7*G7/D7,2)</f>
        <v>10.53</v>
      </c>
      <c r="I7">
        <f>RANK(H7,$H$2:$H$26,0)</f>
        <v>6</v>
      </c>
    </row>
    <row r="8" spans="1:9" ht="14.25" hidden="1" x14ac:dyDescent="0.45">
      <c r="A8" s="2">
        <v>123</v>
      </c>
      <c r="B8" s="2" t="s">
        <v>34</v>
      </c>
      <c r="C8" s="2" t="s">
        <v>10</v>
      </c>
      <c r="D8" s="2">
        <v>46</v>
      </c>
      <c r="E8" s="2">
        <v>77</v>
      </c>
      <c r="F8" s="2">
        <v>96</v>
      </c>
      <c r="G8" s="2">
        <v>5</v>
      </c>
      <c r="H8">
        <f>ROUND(F8*G8/D8,2)</f>
        <v>10.43</v>
      </c>
      <c r="I8">
        <f>RANK(H8,$H$2:$H$26,0)</f>
        <v>7</v>
      </c>
    </row>
    <row r="9" spans="1:9" ht="14.25" hidden="1" x14ac:dyDescent="0.45">
      <c r="A9" s="2">
        <v>115</v>
      </c>
      <c r="B9" s="2" t="s">
        <v>26</v>
      </c>
      <c r="C9" s="2" t="s">
        <v>14</v>
      </c>
      <c r="D9" s="2">
        <v>48</v>
      </c>
      <c r="E9" s="2">
        <v>78</v>
      </c>
      <c r="F9" s="2">
        <v>98</v>
      </c>
      <c r="G9" s="2">
        <v>5</v>
      </c>
      <c r="H9">
        <f>ROUND(F9*G9/D9,2)</f>
        <v>10.210000000000001</v>
      </c>
      <c r="I9">
        <f>RANK(H9,$H$2:$H$26,0)</f>
        <v>8</v>
      </c>
    </row>
    <row r="10" spans="1:9" ht="14.25" hidden="1" x14ac:dyDescent="0.45">
      <c r="A10" s="2">
        <v>107</v>
      </c>
      <c r="B10" s="2" t="s">
        <v>18</v>
      </c>
      <c r="C10" s="2" t="s">
        <v>14</v>
      </c>
      <c r="D10" s="2">
        <v>50</v>
      </c>
      <c r="E10" s="2">
        <v>80</v>
      </c>
      <c r="F10" s="2">
        <v>100</v>
      </c>
      <c r="G10" s="2">
        <v>5</v>
      </c>
      <c r="H10">
        <f>ROUND(F10*G10/D10,2)</f>
        <v>10</v>
      </c>
      <c r="I10">
        <f>RANK(H10,$H$2:$H$26,0)</f>
        <v>9</v>
      </c>
    </row>
    <row r="11" spans="1:9" ht="14.25" hidden="1" x14ac:dyDescent="0.45">
      <c r="A11" s="2">
        <v>101</v>
      </c>
      <c r="B11" s="2" t="s">
        <v>7</v>
      </c>
      <c r="C11" s="2" t="s">
        <v>8</v>
      </c>
      <c r="D11" s="2">
        <v>35</v>
      </c>
      <c r="E11" s="2">
        <v>50</v>
      </c>
      <c r="F11" s="2">
        <v>80</v>
      </c>
      <c r="G11" s="2">
        <v>4</v>
      </c>
      <c r="H11">
        <f>ROUND(F11*G11/D11,2)</f>
        <v>9.14</v>
      </c>
      <c r="I11">
        <f>RANK(H11,$H$2:$H$26,0)</f>
        <v>10</v>
      </c>
    </row>
    <row r="12" spans="1:9" ht="14.25" hidden="1" x14ac:dyDescent="0.45">
      <c r="A12" s="3">
        <v>110</v>
      </c>
      <c r="B12" s="3" t="s">
        <v>21</v>
      </c>
      <c r="C12" s="3" t="s">
        <v>8</v>
      </c>
      <c r="D12" s="3">
        <v>37</v>
      </c>
      <c r="E12" s="3">
        <v>55</v>
      </c>
      <c r="F12" s="3">
        <v>83</v>
      </c>
      <c r="G12" s="3">
        <v>4</v>
      </c>
      <c r="H12">
        <f>ROUND(F12*G12/D12,2)</f>
        <v>8.9700000000000006</v>
      </c>
      <c r="I12">
        <f>RANK(H12,$H$2:$H$26,0)</f>
        <v>11</v>
      </c>
    </row>
    <row r="13" spans="1:9" ht="14.25" hidden="1" x14ac:dyDescent="0.45">
      <c r="A13" s="3">
        <v>106</v>
      </c>
      <c r="B13" s="3" t="s">
        <v>17</v>
      </c>
      <c r="C13" s="3" t="s">
        <v>8</v>
      </c>
      <c r="D13" s="3">
        <v>38</v>
      </c>
      <c r="E13" s="3">
        <v>58</v>
      </c>
      <c r="F13" s="3">
        <v>85</v>
      </c>
      <c r="G13" s="3">
        <v>4</v>
      </c>
      <c r="H13">
        <f>ROUND(F13*G13/D13,2)</f>
        <v>8.9499999999999993</v>
      </c>
      <c r="I13">
        <f>RANK(H13,$H$2:$H$26,0)</f>
        <v>12</v>
      </c>
    </row>
    <row r="14" spans="1:9" ht="14.25" hidden="1" x14ac:dyDescent="0.45">
      <c r="A14" s="2">
        <v>119</v>
      </c>
      <c r="B14" s="2" t="s">
        <v>30</v>
      </c>
      <c r="C14" s="2" t="s">
        <v>14</v>
      </c>
      <c r="D14" s="2">
        <v>39</v>
      </c>
      <c r="E14" s="2">
        <v>60</v>
      </c>
      <c r="F14" s="2">
        <v>87</v>
      </c>
      <c r="G14" s="2">
        <v>4</v>
      </c>
      <c r="H14">
        <f>ROUND(F14*G14/D14,2)</f>
        <v>8.92</v>
      </c>
      <c r="I14">
        <f>RANK(H14,$H$2:$H$26,0)</f>
        <v>13</v>
      </c>
    </row>
    <row r="15" spans="1:9" ht="14.25" hidden="1" x14ac:dyDescent="0.45">
      <c r="A15" s="3">
        <v>114</v>
      </c>
      <c r="B15" s="3" t="s">
        <v>25</v>
      </c>
      <c r="C15" s="3" t="s">
        <v>8</v>
      </c>
      <c r="D15" s="3">
        <v>41</v>
      </c>
      <c r="E15" s="3">
        <v>66</v>
      </c>
      <c r="F15" s="3">
        <v>89</v>
      </c>
      <c r="G15" s="3">
        <v>4</v>
      </c>
      <c r="H15">
        <f>ROUND(F15*G15/D15,2)</f>
        <v>8.68</v>
      </c>
      <c r="I15">
        <f>RANK(H15,$H$2:$H$26,0)</f>
        <v>14</v>
      </c>
    </row>
    <row r="16" spans="1:9" ht="14.25" hidden="1" x14ac:dyDescent="0.45">
      <c r="A16" s="3">
        <v>120</v>
      </c>
      <c r="B16" s="3" t="s">
        <v>31</v>
      </c>
      <c r="C16" s="3" t="s">
        <v>8</v>
      </c>
      <c r="D16" s="3">
        <v>36</v>
      </c>
      <c r="E16" s="3">
        <v>52</v>
      </c>
      <c r="F16" s="3">
        <v>78</v>
      </c>
      <c r="G16" s="3">
        <v>4</v>
      </c>
      <c r="H16">
        <f>ROUND(F16*G16/D16,2)</f>
        <v>8.67</v>
      </c>
      <c r="I16">
        <f>RANK(H16,$H$2:$H$26,0)</f>
        <v>15</v>
      </c>
    </row>
    <row r="17" spans="1:9" ht="14.25" hidden="1" x14ac:dyDescent="0.45">
      <c r="A17" s="2">
        <v>111</v>
      </c>
      <c r="B17" s="2" t="s">
        <v>22</v>
      </c>
      <c r="C17" s="2" t="s">
        <v>16</v>
      </c>
      <c r="D17" s="2">
        <v>29</v>
      </c>
      <c r="E17" s="2">
        <v>38</v>
      </c>
      <c r="F17" s="2">
        <v>68</v>
      </c>
      <c r="G17" s="2">
        <v>3</v>
      </c>
      <c r="H17">
        <f>ROUND(F17*G17/D17,2)</f>
        <v>7.03</v>
      </c>
      <c r="I17">
        <f>RANK(H17,$H$2:$H$26,0)</f>
        <v>16</v>
      </c>
    </row>
    <row r="18" spans="1:9" ht="14.25" hidden="1" x14ac:dyDescent="0.45">
      <c r="A18" s="2">
        <v>103</v>
      </c>
      <c r="B18" s="2" t="s">
        <v>11</v>
      </c>
      <c r="C18" s="2" t="s">
        <v>12</v>
      </c>
      <c r="D18" s="2">
        <v>30</v>
      </c>
      <c r="E18" s="2">
        <v>40</v>
      </c>
      <c r="F18" s="2">
        <v>70</v>
      </c>
      <c r="G18" s="2">
        <v>3</v>
      </c>
      <c r="H18">
        <f>ROUND(F18*G18/D18,2)</f>
        <v>7</v>
      </c>
      <c r="I18">
        <f>RANK(H18,$H$2:$H$26,0)</f>
        <v>17</v>
      </c>
    </row>
    <row r="19" spans="1:9" ht="14.25" hidden="1" x14ac:dyDescent="0.45">
      <c r="A19" s="2">
        <v>117</v>
      </c>
      <c r="B19" s="2" t="s">
        <v>28</v>
      </c>
      <c r="C19" s="2" t="s">
        <v>12</v>
      </c>
      <c r="D19" s="2">
        <v>31</v>
      </c>
      <c r="E19" s="2">
        <v>42</v>
      </c>
      <c r="F19" s="2">
        <v>72</v>
      </c>
      <c r="G19" s="2">
        <v>3</v>
      </c>
      <c r="H19">
        <f>ROUND(F19*G19/D19,2)</f>
        <v>6.97</v>
      </c>
      <c r="I19">
        <f>RANK(H19,$H$2:$H$26,0)</f>
        <v>18</v>
      </c>
    </row>
    <row r="20" spans="1:9" ht="14.25" hidden="1" x14ac:dyDescent="0.45">
      <c r="A20" s="3">
        <v>108</v>
      </c>
      <c r="B20" s="3" t="s">
        <v>19</v>
      </c>
      <c r="C20" s="3" t="s">
        <v>12</v>
      </c>
      <c r="D20" s="3">
        <v>28</v>
      </c>
      <c r="E20" s="3">
        <v>35</v>
      </c>
      <c r="F20" s="3">
        <v>65</v>
      </c>
      <c r="G20" s="3">
        <v>3</v>
      </c>
      <c r="H20">
        <f>ROUND(F20*G20/D20,2)</f>
        <v>6.96</v>
      </c>
      <c r="I20">
        <f>RANK(H20,$H$2:$H$26,0)</f>
        <v>19</v>
      </c>
    </row>
    <row r="21" spans="1:9" ht="14.25" hidden="1" x14ac:dyDescent="0.45">
      <c r="A21" s="3">
        <v>122</v>
      </c>
      <c r="B21" s="3" t="s">
        <v>33</v>
      </c>
      <c r="C21" s="3" t="s">
        <v>12</v>
      </c>
      <c r="D21" s="3">
        <v>32</v>
      </c>
      <c r="E21" s="3">
        <v>44</v>
      </c>
      <c r="F21" s="3">
        <v>74</v>
      </c>
      <c r="G21" s="3">
        <v>3</v>
      </c>
      <c r="H21">
        <f>ROUND(F21*G21/D21,2)</f>
        <v>6.94</v>
      </c>
      <c r="I21">
        <f>RANK(H21,$H$2:$H$26,0)</f>
        <v>20</v>
      </c>
    </row>
    <row r="22" spans="1:9" ht="14.25" hidden="1" x14ac:dyDescent="0.45">
      <c r="A22" s="2">
        <v>113</v>
      </c>
      <c r="B22" s="2" t="s">
        <v>24</v>
      </c>
      <c r="C22" s="2" t="s">
        <v>12</v>
      </c>
      <c r="D22" s="2">
        <v>33</v>
      </c>
      <c r="E22" s="2">
        <v>45</v>
      </c>
      <c r="F22" s="2">
        <v>75</v>
      </c>
      <c r="G22" s="2">
        <v>3</v>
      </c>
      <c r="H22">
        <f>ROUND(F22*G22/D22,2)</f>
        <v>6.82</v>
      </c>
      <c r="I22">
        <f>RANK(H22,$H$2:$H$26,0)</f>
        <v>21</v>
      </c>
    </row>
    <row r="23" spans="1:9" ht="14.25" hidden="1" x14ac:dyDescent="0.45">
      <c r="A23" s="3">
        <v>124</v>
      </c>
      <c r="B23" s="3" t="s">
        <v>35</v>
      </c>
      <c r="C23" s="3" t="s">
        <v>8</v>
      </c>
      <c r="D23" s="3">
        <v>34</v>
      </c>
      <c r="E23" s="3">
        <v>48</v>
      </c>
      <c r="F23" s="3">
        <v>76</v>
      </c>
      <c r="G23" s="3">
        <v>3</v>
      </c>
      <c r="H23">
        <f>ROUND(F23*G23/D23,2)</f>
        <v>6.71</v>
      </c>
      <c r="I23">
        <f>RANK(H23,$H$2:$H$26,0)</f>
        <v>22</v>
      </c>
    </row>
    <row r="24" spans="1:9" ht="14.25" hidden="1" x14ac:dyDescent="0.45">
      <c r="A24" s="2">
        <v>105</v>
      </c>
      <c r="B24" s="2" t="s">
        <v>15</v>
      </c>
      <c r="C24" s="2" t="s">
        <v>16</v>
      </c>
      <c r="D24" s="2">
        <v>25</v>
      </c>
      <c r="E24" s="2">
        <v>30</v>
      </c>
      <c r="F24" s="2">
        <v>60</v>
      </c>
      <c r="G24" s="2">
        <v>2</v>
      </c>
      <c r="H24">
        <f>ROUND(F24*G24/D24,2)</f>
        <v>4.8</v>
      </c>
      <c r="I24">
        <f>RANK(H24,$H$2:$H$26,0)</f>
        <v>23</v>
      </c>
    </row>
    <row r="25" spans="1:9" ht="14.25" hidden="1" x14ac:dyDescent="0.45">
      <c r="A25" s="3">
        <v>116</v>
      </c>
      <c r="B25" s="3" t="s">
        <v>27</v>
      </c>
      <c r="C25" s="3" t="s">
        <v>16</v>
      </c>
      <c r="D25" s="3">
        <v>26</v>
      </c>
      <c r="E25" s="3">
        <v>32</v>
      </c>
      <c r="F25" s="3">
        <v>62</v>
      </c>
      <c r="G25" s="3">
        <v>2</v>
      </c>
      <c r="H25">
        <f>ROUND(F25*G25/D25,2)</f>
        <v>4.7699999999999996</v>
      </c>
      <c r="I25">
        <f>RANK(H25,$H$2:$H$26,0)</f>
        <v>24</v>
      </c>
    </row>
    <row r="26" spans="1:9" ht="14.25" hidden="1" x14ac:dyDescent="0.45">
      <c r="A26" s="2">
        <v>121</v>
      </c>
      <c r="B26" s="2" t="s">
        <v>32</v>
      </c>
      <c r="C26" s="2" t="s">
        <v>16</v>
      </c>
      <c r="D26" s="2">
        <v>27</v>
      </c>
      <c r="E26" s="2">
        <v>34</v>
      </c>
      <c r="F26" s="2">
        <v>64</v>
      </c>
      <c r="G26" s="2">
        <v>2</v>
      </c>
      <c r="H26">
        <f>ROUND(F26*G26/D26,2)</f>
        <v>4.74</v>
      </c>
      <c r="I26">
        <f>RANK(H26,$H$2:$H$26,0)</f>
        <v>25</v>
      </c>
    </row>
    <row r="28" spans="1:9" x14ac:dyDescent="0.35">
      <c r="A28" s="7" t="s">
        <v>46</v>
      </c>
    </row>
    <row r="29" spans="1:9" x14ac:dyDescent="0.35">
      <c r="A29" s="7" t="s">
        <v>45</v>
      </c>
    </row>
  </sheetData>
  <autoFilter ref="A1:I26" xr:uid="{D4E1D854-82C8-4608-BD41-F363847B969B}">
    <filterColumn colId="8">
      <filters>
        <filter val="1"/>
        <filter val="2"/>
        <filter val="3"/>
      </filters>
    </filterColumn>
    <sortState xmlns:xlrd2="http://schemas.microsoft.com/office/spreadsheetml/2017/richdata2" ref="A2:I26">
      <sortCondition ref="I1:I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D9AA-9C46-499C-85E0-63038D081A96}">
  <dimension ref="A1:H10"/>
  <sheetViews>
    <sheetView workbookViewId="0">
      <selection activeCell="H18" sqref="H18"/>
    </sheetView>
  </sheetViews>
  <sheetFormatPr defaultRowHeight="12.75" x14ac:dyDescent="0.35"/>
  <cols>
    <col min="1" max="1" width="11.46484375" bestFit="1" customWidth="1"/>
    <col min="2" max="2" width="6.265625" bestFit="1" customWidth="1"/>
    <col min="3" max="3" width="10.59765625" bestFit="1" customWidth="1"/>
    <col min="4" max="4" width="13" bestFit="1" customWidth="1"/>
    <col min="5" max="5" width="15.06640625" bestFit="1" customWidth="1"/>
    <col min="6" max="6" width="16" bestFit="1" customWidth="1"/>
    <col min="7" max="7" width="17.33203125" bestFit="1" customWidth="1"/>
  </cols>
  <sheetData>
    <row r="1" spans="1:8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4.25" x14ac:dyDescent="0.45">
      <c r="A2" s="2">
        <v>107</v>
      </c>
      <c r="B2" s="2" t="s">
        <v>18</v>
      </c>
      <c r="C2" s="2" t="s">
        <v>14</v>
      </c>
      <c r="D2" s="2">
        <v>50</v>
      </c>
      <c r="E2" s="2">
        <v>80</v>
      </c>
      <c r="F2" s="2">
        <v>100</v>
      </c>
      <c r="G2" s="2">
        <v>5</v>
      </c>
    </row>
    <row r="3" spans="1:8" ht="14.25" x14ac:dyDescent="0.45">
      <c r="A3" s="2">
        <v>125</v>
      </c>
      <c r="B3" s="2" t="s">
        <v>36</v>
      </c>
      <c r="C3" s="2" t="s">
        <v>14</v>
      </c>
      <c r="D3" s="2">
        <v>47</v>
      </c>
      <c r="E3" s="2">
        <v>79</v>
      </c>
      <c r="F3" s="2">
        <v>99</v>
      </c>
      <c r="G3" s="2">
        <v>5</v>
      </c>
    </row>
    <row r="4" spans="1:8" ht="14.25" x14ac:dyDescent="0.45">
      <c r="A4" s="2">
        <v>115</v>
      </c>
      <c r="B4" s="2" t="s">
        <v>26</v>
      </c>
      <c r="C4" s="2" t="s">
        <v>14</v>
      </c>
      <c r="D4" s="2">
        <v>48</v>
      </c>
      <c r="E4" s="2">
        <v>78</v>
      </c>
      <c r="F4" s="2">
        <v>98</v>
      </c>
      <c r="G4" s="2">
        <v>5</v>
      </c>
    </row>
    <row r="5" spans="1:8" ht="14.25" x14ac:dyDescent="0.45">
      <c r="A5" s="2">
        <v>123</v>
      </c>
      <c r="B5" s="2" t="s">
        <v>34</v>
      </c>
      <c r="C5" s="2" t="s">
        <v>10</v>
      </c>
      <c r="D5" s="2">
        <v>46</v>
      </c>
      <c r="E5" s="2">
        <v>77</v>
      </c>
      <c r="F5" s="2">
        <v>96</v>
      </c>
      <c r="G5" s="2">
        <v>5</v>
      </c>
    </row>
    <row r="6" spans="1:8" ht="14.25" x14ac:dyDescent="0.45">
      <c r="A6" s="3">
        <v>104</v>
      </c>
      <c r="B6" s="3" t="s">
        <v>13</v>
      </c>
      <c r="C6" s="3" t="s">
        <v>14</v>
      </c>
      <c r="D6" s="3">
        <v>45</v>
      </c>
      <c r="E6" s="3">
        <v>75</v>
      </c>
      <c r="F6" s="3">
        <v>95</v>
      </c>
      <c r="G6" s="3">
        <v>5</v>
      </c>
    </row>
    <row r="9" spans="1:8" x14ac:dyDescent="0.35">
      <c r="H9" t="s">
        <v>37</v>
      </c>
    </row>
    <row r="10" spans="1:8" x14ac:dyDescent="0.35">
      <c r="H10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Underultilized Perfomers</vt:lpstr>
      <vt:lpstr>PEI</vt:lpstr>
      <vt:lpstr>Top 5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Mehta</cp:lastModifiedBy>
  <dcterms:modified xsi:type="dcterms:W3CDTF">2025-09-14T11:08:09Z</dcterms:modified>
</cp:coreProperties>
</file>